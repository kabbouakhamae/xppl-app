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mlong.k\Documents\"/>
    </mc:Choice>
  </mc:AlternateContent>
  <xr:revisionPtr revIDLastSave="0" documentId="8_{1E07D818-07E8-45AA-9E03-F426D9740B6F}" xr6:coauthVersionLast="47" xr6:coauthVersionMax="47" xr10:uidLastSave="{00000000-0000-0000-0000-000000000000}"/>
  <bookViews>
    <workbookView xWindow="28680" yWindow="-120" windowWidth="29040" windowHeight="15720" tabRatio="411" firstSheet="2" activeTab="2" xr2:uid="{00000000-000D-0000-FFFF-FFFF00000000}"/>
  </bookViews>
  <sheets>
    <sheet name="tmp" sheetId="2" state="hidden" r:id="rId1"/>
    <sheet name="Setting" sheetId="3" state="hidden" r:id="rId2"/>
    <sheet name="Main" sheetId="1" r:id="rId3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2" i="2" l="1"/>
  <c r="X2" i="2"/>
  <c r="Z2" i="2"/>
  <c r="V3" i="2"/>
  <c r="O10" i="2"/>
  <c r="Q10" i="2" s="1"/>
  <c r="P10" i="2" l="1"/>
</calcChain>
</file>

<file path=xl/sharedStrings.xml><?xml version="1.0" encoding="utf-8"?>
<sst xmlns="http://schemas.openxmlformats.org/spreadsheetml/2006/main" count="76" uniqueCount="62">
  <si>
    <t>ທັນວາ</t>
  </si>
  <si>
    <t>ຕຸລາ</t>
  </si>
  <si>
    <t>ພະຈິກ</t>
  </si>
  <si>
    <t>ກັນຍາ</t>
  </si>
  <si>
    <t>ສິງຫາ</t>
  </si>
  <si>
    <t>ກໍລະກົດ</t>
  </si>
  <si>
    <t>SP_Base    ຖ່ານຫີນຄວາມຮ້ອນຕ່ຳເອົາໄປປູພື້ນ</t>
  </si>
  <si>
    <t>ມີຖຸນາ</t>
  </si>
  <si>
    <t xml:space="preserve">ລວມຍອດ/ສະເລ່ຍ </t>
  </si>
  <si>
    <t>ພຶດສະພາ</t>
  </si>
  <si>
    <t>SL</t>
  </si>
  <si>
    <t>800 - 15,000</t>
  </si>
  <si>
    <t>ເມສາ</t>
  </si>
  <si>
    <t>LG</t>
  </si>
  <si>
    <t>1,500 - 3,000</t>
  </si>
  <si>
    <t>ມີນາ</t>
  </si>
  <si>
    <t>MG</t>
  </si>
  <si>
    <t>3,000 - 4,000</t>
  </si>
  <si>
    <t>ບໍ່ກະລຶມຕາເວັນຕົກ</t>
  </si>
  <si>
    <t>K1W-C</t>
  </si>
  <si>
    <t>XPPL</t>
  </si>
  <si>
    <t>ກຸມພາ</t>
  </si>
  <si>
    <t>HG</t>
  </si>
  <si>
    <t>4,000 - 5,000</t>
  </si>
  <si>
    <t>ບໍ່ປາກໄຊເໜືອ</t>
  </si>
  <si>
    <t>PXN</t>
  </si>
  <si>
    <t>T-GROUP</t>
  </si>
  <si>
    <t>TG</t>
  </si>
  <si>
    <t>ມັງກອນ</t>
  </si>
  <si>
    <t>SHG</t>
  </si>
  <si>
    <t>&gt;5,000</t>
  </si>
  <si>
    <t>ຂີ້ເຖົ່າສະເລ່ຍ ຂອງກອງຖ່ານ, %</t>
  </si>
  <si>
    <t>ຄວາມຮ້ອນສະເລ່ຍ ຂອງກອງຖ່ານ, Kcal/kg</t>
  </si>
  <si>
    <t>ຂີ້ເຖົ່າສະເລ່ຍ ຂອງ GC, %</t>
  </si>
  <si>
    <t>ຄວາມຮ້ອນສະເລ່ຍ ຂອງ GC, Kcal/kg</t>
  </si>
  <si>
    <t>ໂຕນ</t>
  </si>
  <si>
    <t>ປະເພດຖ່ານຫີນ</t>
  </si>
  <si>
    <t>ຄ່າຄວາມຮ້ອນ</t>
  </si>
  <si>
    <t>ເຖີງ</t>
  </si>
  <si>
    <t>ຈັດສັນປະເພດຖ່ານຫີນທີ່ຖືກຂຸດອອກ</t>
  </si>
  <si>
    <t>ຕາມການຄັດຈ້ອນປະຈຳວັນທີ</t>
  </si>
  <si>
    <t>ຂອງບໍລິສັດ</t>
  </si>
  <si>
    <t>ລວມລາຍງານການຂຸດຄົ້ນຖານຫີນຢູ່ບໍ PXN &amp; K1W ຂອງບໍລິສັດ XPPL ແລະ ບໍລິສັດ T-GROUPແຕ່ວັນທີ 07 ມັງກອນ 2021 ເຖີງ 28 ພະຈິກ 2021</t>
  </si>
  <si>
    <t>ສະຫຼຸບການຂຸດຄົ້້ນຖ່າານຫີນຢູ່</t>
  </si>
  <si>
    <t>ລວມລາຍງານການຂຸດຄົ້ນຖານຫີນທັງໝົດເລີ່ມແຕ່ວັນທີ່</t>
  </si>
  <si>
    <t>●</t>
  </si>
  <si>
    <t>ບົດລາຍງານການເຄື່ອນໄຫວວຽກຂຸດຄົ້ນຖ່ານຫີນປະຈຳວັນທີ່</t>
  </si>
  <si>
    <t>ເຖິງ</t>
  </si>
  <si>
    <t>ແຕ່ວັນທີ່</t>
  </si>
  <si>
    <t>ສະຫຼຸບການຂຸດຖ່ານຫີນຂອງ</t>
  </si>
  <si>
    <t>ສະຫຼຸບລວມ</t>
  </si>
  <si>
    <t>ສະຫຼຸບການຂຸດຖ່ານຫີນປະຈຳວັນທີ່</t>
  </si>
  <si>
    <t>Revise</t>
  </si>
  <si>
    <t>New</t>
  </si>
  <si>
    <t>ບົດລາຍງານການເຄື່ອນໄຫວວຽກຂຸດຄົ້ນຖ່ານຫີນປະຈໍາອາທິດ ແຕ່ວັນທີ່</t>
  </si>
  <si>
    <t>ສະຫຼຸບລວມການຂຸດຖ່ານຫີນປະຈໍາອາທິດ ແຕ່ວັນທີ່</t>
  </si>
  <si>
    <t>ສະຫຼຸບລວມການຂຸດຖ່ານຫີນທັງໝົດ ແຕ່ວັນທີ່</t>
  </si>
  <si>
    <t>ສະຫຼຸບສະເພາະຜູ້ຮັບເໝົາ</t>
  </si>
  <si>
    <t>Pit</t>
  </si>
  <si>
    <t>Cont</t>
  </si>
  <si>
    <t>ແຜນຂຸດດິນເຟືອຍຕໍ່ທິດ 185,548 ແມັດກ້ອນ, ຂຸດຕົວຈິງໄດ້ 105,232 ແມັດກ້ອນ. ຄິດເປັນ 57% ຫຼຸດແຜນການ -43%</t>
  </si>
  <si>
    <t>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</si>
</sst>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Phetsarath OT"/>
    </font>
    <font>
      <sz val="14"/>
      <color theme="1"/>
      <name val="Calibri"/>
      <family val="2"/>
      <scheme val="minor"/>
    </font>
    <font>
      <b/>
      <sz val="14"/>
      <color rgb="FF0000FF"/>
      <name val="Arial"/>
      <family val="2"/>
    </font>
    <font>
      <b/>
      <sz val="14"/>
      <color rgb="FF0000FF"/>
      <name val="Phetsarath OT"/>
    </font>
    <font>
      <b/>
      <sz val="12"/>
      <color theme="1"/>
      <name val="Arial"/>
      <family val="2"/>
    </font>
    <font>
      <b/>
      <sz val="12"/>
      <color theme="1"/>
      <name val="Saysettha OT"/>
      <family val="2"/>
    </font>
    <font>
      <sz val="11"/>
      <color theme="1"/>
      <name val="Phetsarath OT"/>
    </font>
    <font>
      <b/>
      <sz val="12"/>
      <color theme="1"/>
      <name val="Phetsarath OT"/>
    </font>
    <font>
      <b/>
      <sz val="14"/>
      <color theme="1"/>
      <name val="Phetsarath OT"/>
    </font>
    <font>
      <b/>
      <sz val="12"/>
      <name val="Phetsarath OT"/>
    </font>
    <font>
      <sz val="14"/>
      <color theme="1"/>
      <name val="Phetsarath OT"/>
    </font>
    <font>
      <sz val="12"/>
      <color theme="0" tint="-0.499984740745262"/>
      <name val="Phetsarath OT"/>
    </font>
    <font>
      <sz val="10"/>
      <color theme="1"/>
      <name val="Calibri"/>
      <family val="2"/>
      <scheme val="minor"/>
    </font>
    <font>
      <sz val="11"/>
      <color rgb="FFFF0000"/>
      <name val="Phetsarath OT"/>
    </font>
    <font>
      <sz val="11"/>
      <color theme="0" tint="-0.499984740745262"/>
      <name val="Phetsarath OT"/>
    </font>
    <font>
      <sz val="11"/>
      <color theme="5" tint="0.39997558519241921"/>
      <name val="Phetsarath OT"/>
    </font>
    <font>
      <sz val="11"/>
      <color theme="8" tint="-0.249977111117893"/>
      <name val="Phetsarath OT"/>
    </font>
    <font>
      <sz val="12"/>
      <color theme="4" tint="0.39997558519241921"/>
      <name val="Phetsarath OT"/>
    </font>
    <font>
      <sz val="12"/>
      <color rgb="FFFF0000"/>
      <name val="Phetsarath OT"/>
    </font>
    <font>
      <sz val="11"/>
      <color rgb="FFCC66FF"/>
      <name val="Phetsarath OT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82DC8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3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theme="4"/>
      </left>
      <right style="medium">
        <color rgb="FFFF0000"/>
      </right>
      <top style="thin">
        <color theme="4"/>
      </top>
      <bottom style="medium">
        <color rgb="FFFF000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rgb="FFFF0000"/>
      </bottom>
      <diagonal/>
    </border>
    <border>
      <left/>
      <right style="thin">
        <color theme="4"/>
      </right>
      <top style="thin">
        <color rgb="FF00B0F0"/>
      </top>
      <bottom style="medium">
        <color rgb="FFFF0000"/>
      </bottom>
      <diagonal/>
    </border>
    <border>
      <left style="medium">
        <color rgb="FFFF0000"/>
      </left>
      <right/>
      <top style="thin">
        <color rgb="FF00B0F0"/>
      </top>
      <bottom style="medium">
        <color rgb="FFFF0000"/>
      </bottom>
      <diagonal/>
    </border>
    <border>
      <left style="thin">
        <color theme="4"/>
      </left>
      <right style="medium">
        <color rgb="FFFF0000"/>
      </right>
      <top/>
      <bottom style="thin">
        <color rgb="FF00B0F0"/>
      </bottom>
      <diagonal/>
    </border>
    <border>
      <left style="thin">
        <color theme="4"/>
      </left>
      <right/>
      <top/>
      <bottom style="thin">
        <color rgb="FF00B0F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rgb="FF00B0F0"/>
      </bottom>
      <diagonal/>
    </border>
    <border>
      <left style="medium">
        <color rgb="FFFF0000"/>
      </left>
      <right style="thin">
        <color theme="4"/>
      </right>
      <top/>
      <bottom style="thin">
        <color rgb="FF00B0F0"/>
      </bottom>
      <diagonal/>
    </border>
    <border>
      <left style="thin">
        <color theme="4"/>
      </left>
      <right style="medium">
        <color rgb="FFFF0000"/>
      </right>
      <top style="thin">
        <color theme="4"/>
      </top>
      <bottom style="thin">
        <color theme="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FF0000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medium">
        <color rgb="FFFF0000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medium">
        <color rgb="FFFF0000"/>
      </left>
      <right/>
      <top style="thin">
        <color theme="4"/>
      </top>
      <bottom/>
      <diagonal/>
    </border>
    <border>
      <left/>
      <right style="medium">
        <color rgb="FFFF0000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medium">
        <color rgb="FFFF0000"/>
      </right>
      <top style="medium">
        <color rgb="FFFF0000"/>
      </top>
      <bottom style="thin">
        <color theme="4"/>
      </bottom>
      <diagonal/>
    </border>
    <border>
      <left/>
      <right/>
      <top style="medium">
        <color rgb="FFFF0000"/>
      </top>
      <bottom style="thin">
        <color theme="4"/>
      </bottom>
      <diagonal/>
    </border>
    <border>
      <left style="medium">
        <color rgb="FFFF0000"/>
      </left>
      <right/>
      <top style="medium">
        <color rgb="FFFF0000"/>
      </top>
      <bottom style="thin">
        <color theme="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left" vertical="center"/>
    </xf>
    <xf numFmtId="3" fontId="0" fillId="0" borderId="0" xfId="0" applyNumberFormat="1"/>
    <xf numFmtId="0" fontId="2" fillId="2" borderId="1" xfId="0" applyFont="1" applyFill="1" applyBorder="1"/>
    <xf numFmtId="4" fontId="2" fillId="2" borderId="1" xfId="0" applyNumberFormat="1" applyFont="1" applyFill="1" applyBorder="1"/>
    <xf numFmtId="3" fontId="2" fillId="2" borderId="1" xfId="0" applyNumberFormat="1" applyFont="1" applyFill="1" applyBorder="1"/>
    <xf numFmtId="0" fontId="3" fillId="3" borderId="1" xfId="0" applyFont="1" applyFill="1" applyBorder="1"/>
    <xf numFmtId="0" fontId="4" fillId="3" borderId="1" xfId="0" applyFont="1" applyFill="1" applyBorder="1" applyAlignment="1">
      <alignment horizontal="left"/>
    </xf>
    <xf numFmtId="0" fontId="2" fillId="0" borderId="0" xfId="0" applyFont="1"/>
    <xf numFmtId="0" fontId="4" fillId="3" borderId="2" xfId="0" applyFont="1" applyFill="1" applyBorder="1" applyAlignment="1">
      <alignment horizontal="center"/>
    </xf>
    <xf numFmtId="0" fontId="5" fillId="0" borderId="0" xfId="0" applyFont="1"/>
    <xf numFmtId="41" fontId="6" fillId="4" borderId="3" xfId="1" applyNumberFormat="1" applyFont="1" applyFill="1" applyBorder="1" applyAlignment="1">
      <alignment horizontal="center"/>
    </xf>
    <xf numFmtId="41" fontId="6" fillId="4" borderId="4" xfId="1" applyNumberFormat="1" applyFont="1" applyFill="1" applyBorder="1" applyAlignment="1">
      <alignment horizontal="center"/>
    </xf>
    <xf numFmtId="4" fontId="6" fillId="4" borderId="4" xfId="1" applyNumberFormat="1" applyFont="1" applyFill="1" applyBorder="1" applyAlignment="1">
      <alignment horizontal="right"/>
    </xf>
    <xf numFmtId="3" fontId="6" fillId="4" borderId="4" xfId="1" applyNumberFormat="1" applyFont="1" applyFill="1" applyBorder="1" applyAlignment="1">
      <alignment horizontal="right"/>
    </xf>
    <xf numFmtId="3" fontId="6" fillId="4" borderId="4" xfId="0" applyNumberFormat="1" applyFont="1" applyFill="1" applyBorder="1" applyAlignment="1">
      <alignment horizontal="right"/>
    </xf>
    <xf numFmtId="0" fontId="7" fillId="0" borderId="0" xfId="0" applyFont="1"/>
    <xf numFmtId="41" fontId="6" fillId="0" borderId="0" xfId="1" applyNumberFormat="1" applyFont="1" applyFill="1" applyBorder="1" applyAlignment="1">
      <alignment horizontal="center"/>
    </xf>
    <xf numFmtId="41" fontId="2" fillId="0" borderId="7" xfId="1" applyNumberFormat="1" applyFont="1" applyBorder="1" applyAlignment="1">
      <alignment horizontal="center"/>
    </xf>
    <xf numFmtId="41" fontId="2" fillId="0" borderId="8" xfId="1" applyNumberFormat="1" applyFont="1" applyBorder="1" applyAlignment="1">
      <alignment horizontal="center"/>
    </xf>
    <xf numFmtId="4" fontId="8" fillId="2" borderId="9" xfId="0" applyNumberFormat="1" applyFont="1" applyFill="1" applyBorder="1"/>
    <xf numFmtId="3" fontId="8" fillId="2" borderId="9" xfId="0" applyNumberFormat="1" applyFont="1" applyFill="1" applyBorder="1"/>
    <xf numFmtId="3" fontId="8" fillId="2" borderId="10" xfId="0" applyNumberFormat="1" applyFont="1" applyFill="1" applyBorder="1"/>
    <xf numFmtId="0" fontId="9" fillId="5" borderId="11" xfId="0" applyFont="1" applyFill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0" fillId="0" borderId="0" xfId="0" applyFont="1"/>
    <xf numFmtId="41" fontId="2" fillId="0" borderId="0" xfId="1" applyNumberFormat="1" applyFont="1" applyFill="1" applyBorder="1" applyAlignment="1">
      <alignment horizontal="center"/>
    </xf>
    <xf numFmtId="3" fontId="8" fillId="2" borderId="10" xfId="0" applyNumberFormat="1" applyFont="1" applyFill="1" applyBorder="1" applyAlignment="1">
      <alignment horizontal="right"/>
    </xf>
    <xf numFmtId="41" fontId="8" fillId="0" borderId="13" xfId="1" applyNumberFormat="1" applyFont="1" applyBorder="1" applyAlignment="1">
      <alignment horizontal="center"/>
    </xf>
    <xf numFmtId="41" fontId="8" fillId="0" borderId="9" xfId="1" applyNumberFormat="1" applyFont="1" applyBorder="1" applyAlignment="1">
      <alignment horizontal="center"/>
    </xf>
    <xf numFmtId="43" fontId="9" fillId="6" borderId="14" xfId="1" applyFont="1" applyFill="1" applyBorder="1" applyAlignment="1">
      <alignment horizontal="center"/>
    </xf>
    <xf numFmtId="43" fontId="8" fillId="0" borderId="15" xfId="1" applyFont="1" applyFill="1" applyBorder="1" applyAlignment="1">
      <alignment horizontal="center"/>
    </xf>
    <xf numFmtId="41" fontId="8" fillId="0" borderId="0" xfId="1" applyNumberFormat="1" applyFont="1" applyFill="1" applyBorder="1" applyAlignment="1">
      <alignment horizontal="center"/>
    </xf>
    <xf numFmtId="43" fontId="0" fillId="0" borderId="0" xfId="0" applyNumberFormat="1"/>
    <xf numFmtId="164" fontId="9" fillId="7" borderId="14" xfId="1" applyNumberFormat="1" applyFont="1" applyFill="1" applyBorder="1" applyAlignment="1">
      <alignment horizontal="center"/>
    </xf>
    <xf numFmtId="164" fontId="8" fillId="0" borderId="15" xfId="1" applyNumberFormat="1" applyFont="1" applyFill="1" applyBorder="1" applyAlignment="1">
      <alignment horizontal="center"/>
    </xf>
    <xf numFmtId="41" fontId="8" fillId="0" borderId="13" xfId="0" applyNumberFormat="1" applyFont="1" applyBorder="1" applyAlignment="1">
      <alignment horizontal="center"/>
    </xf>
    <xf numFmtId="41" fontId="8" fillId="0" borderId="9" xfId="0" applyNumberFormat="1" applyFont="1" applyBorder="1" applyAlignment="1">
      <alignment horizontal="center"/>
    </xf>
    <xf numFmtId="43" fontId="9" fillId="8" borderId="14" xfId="1" applyFont="1" applyFill="1" applyBorder="1" applyAlignment="1">
      <alignment horizontal="center"/>
    </xf>
    <xf numFmtId="41" fontId="8" fillId="0" borderId="0" xfId="0" applyNumberFormat="1" applyFont="1" applyAlignment="1">
      <alignment horizontal="center"/>
    </xf>
    <xf numFmtId="41" fontId="8" fillId="2" borderId="13" xfId="0" applyNumberFormat="1" applyFont="1" applyFill="1" applyBorder="1"/>
    <xf numFmtId="41" fontId="8" fillId="2" borderId="9" xfId="0" applyNumberFormat="1" applyFont="1" applyFill="1" applyBorder="1"/>
    <xf numFmtId="43" fontId="9" fillId="9" borderId="14" xfId="1" applyFont="1" applyFill="1" applyBorder="1" applyAlignment="1">
      <alignment horizontal="center"/>
    </xf>
    <xf numFmtId="41" fontId="8" fillId="0" borderId="0" xfId="0" applyNumberFormat="1" applyFont="1"/>
    <xf numFmtId="0" fontId="11" fillId="10" borderId="16" xfId="0" applyFont="1" applyFill="1" applyBorder="1" applyAlignment="1">
      <alignment vertical="center" wrapText="1"/>
    </xf>
    <xf numFmtId="0" fontId="11" fillId="10" borderId="17" xfId="0" applyFont="1" applyFill="1" applyBorder="1" applyAlignment="1">
      <alignment vertical="center" wrapText="1"/>
    </xf>
    <xf numFmtId="0" fontId="11" fillId="10" borderId="18" xfId="0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 wrapText="1"/>
    </xf>
    <xf numFmtId="0" fontId="11" fillId="10" borderId="19" xfId="0" applyFont="1" applyFill="1" applyBorder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14" fillId="0" borderId="0" xfId="0" applyFont="1"/>
    <xf numFmtId="0" fontId="13" fillId="0" borderId="0" xfId="0" applyFont="1" applyAlignment="1">
      <alignment horizontal="center"/>
    </xf>
    <xf numFmtId="0" fontId="13" fillId="11" borderId="22" xfId="0" applyFont="1" applyFill="1" applyBorder="1"/>
    <xf numFmtId="0" fontId="13" fillId="11" borderId="23" xfId="0" applyFont="1" applyFill="1" applyBorder="1"/>
    <xf numFmtId="0" fontId="13" fillId="11" borderId="24" xfId="0" applyFont="1" applyFill="1" applyBorder="1"/>
    <xf numFmtId="0" fontId="10" fillId="2" borderId="0" xfId="0" applyFont="1" applyFill="1"/>
    <xf numFmtId="0" fontId="0" fillId="0" borderId="0" xfId="0" applyAlignment="1">
      <alignment horizontal="center"/>
    </xf>
    <xf numFmtId="0" fontId="15" fillId="0" borderId="0" xfId="0" applyFont="1" applyAlignment="1">
      <alignment horizontal="center" vertical="top"/>
    </xf>
    <xf numFmtId="0" fontId="16" fillId="0" borderId="0" xfId="0" applyFont="1"/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14" fontId="25" fillId="0" borderId="0" xfId="0" applyNumberFormat="1" applyFont="1" applyAlignment="1">
      <alignment horizontal="left" vertical="center"/>
    </xf>
    <xf numFmtId="0" fontId="7" fillId="4" borderId="6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3" fillId="11" borderId="24" xfId="0" applyFont="1" applyFill="1" applyBorder="1" applyAlignment="1">
      <alignment horizontal="center"/>
    </xf>
    <xf numFmtId="0" fontId="13" fillId="11" borderId="23" xfId="0" applyFont="1" applyFill="1" applyBorder="1" applyAlignment="1">
      <alignment horizontal="center"/>
    </xf>
    <xf numFmtId="0" fontId="13" fillId="11" borderId="22" xfId="0" applyFont="1" applyFill="1" applyBorder="1" applyAlignment="1">
      <alignment horizontal="center"/>
    </xf>
    <xf numFmtId="0" fontId="12" fillId="10" borderId="19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0" fontId="12" fillId="10" borderId="20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6">
    <dxf>
      <fill>
        <patternFill>
          <bgColor rgb="FFFF99FF"/>
        </patternFill>
      </fill>
    </dxf>
    <dxf>
      <fill>
        <patternFill>
          <bgColor rgb="FF66FF99"/>
        </patternFill>
      </fill>
    </dxf>
    <dxf>
      <fill>
        <patternFill>
          <bgColor rgb="FF9966FF"/>
        </patternFill>
      </fill>
    </dxf>
    <dxf>
      <fill>
        <patternFill>
          <bgColor rgb="FF00B0F0"/>
        </patternFill>
      </fill>
    </dxf>
    <dxf>
      <fill>
        <patternFill>
          <bgColor rgb="FFFF99FF"/>
        </patternFill>
      </fill>
    </dxf>
    <dxf>
      <fill>
        <patternFill>
          <bgColor rgb="FF66FF99"/>
        </patternFill>
      </fill>
    </dxf>
    <dxf>
      <fill>
        <patternFill>
          <bgColor rgb="FF9966FF"/>
        </patternFill>
      </fill>
    </dxf>
    <dxf>
      <fill>
        <patternFill>
          <bgColor rgb="FF00B0F0"/>
        </patternFill>
      </fill>
    </dxf>
    <dxf>
      <fill>
        <patternFill>
          <bgColor rgb="FFFF99FF"/>
        </patternFill>
      </fill>
    </dxf>
    <dxf>
      <fill>
        <patternFill>
          <bgColor rgb="FF66FF99"/>
        </patternFill>
      </fill>
    </dxf>
    <dxf>
      <fill>
        <patternFill>
          <bgColor rgb="FF9966FF"/>
        </patternFill>
      </fill>
    </dxf>
    <dxf>
      <fill>
        <patternFill>
          <bgColor rgb="FF00B0F0"/>
        </patternFill>
      </fill>
    </dxf>
    <dxf>
      <fill>
        <patternFill>
          <bgColor rgb="FFFF99FF"/>
        </patternFill>
      </fill>
    </dxf>
    <dxf>
      <fill>
        <patternFill>
          <bgColor rgb="FF66FF99"/>
        </patternFill>
      </fill>
    </dxf>
    <dxf>
      <fill>
        <patternFill>
          <bgColor rgb="FF9966FF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9933FF"/>
      <color rgb="FFFFF7E1"/>
      <color rgb="FFFFF5D9"/>
      <color rgb="FFFF4B4B"/>
      <color rgb="FF69D8FF"/>
      <color rgb="FF53D2FF"/>
      <color rgb="FF21C5FF"/>
      <color rgb="FFEAEAEA"/>
      <color rgb="FFE4E4E4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5</xdr:row>
          <xdr:rowOff>19050</xdr:rowOff>
        </xdr:from>
        <xdr:to>
          <xdr:col>6</xdr:col>
          <xdr:colOff>257175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Daily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57150</xdr:rowOff>
        </xdr:from>
        <xdr:to>
          <xdr:col>6</xdr:col>
          <xdr:colOff>257175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 By Date Span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9</xdr:row>
          <xdr:rowOff>104775</xdr:rowOff>
        </xdr:from>
        <xdr:to>
          <xdr:col>6</xdr:col>
          <xdr:colOff>257175</xdr:colOff>
          <xdr:row>11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EMC Daily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18</xdr:row>
          <xdr:rowOff>104775</xdr:rowOff>
        </xdr:from>
        <xdr:to>
          <xdr:col>6</xdr:col>
          <xdr:colOff>247650</xdr:colOff>
          <xdr:row>20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Mining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20</xdr:row>
          <xdr:rowOff>161925</xdr:rowOff>
        </xdr:from>
        <xdr:to>
          <xdr:col>6</xdr:col>
          <xdr:colOff>247650</xdr:colOff>
          <xdr:row>22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T-GROUP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23</xdr:row>
          <xdr:rowOff>28575</xdr:rowOff>
        </xdr:from>
        <xdr:to>
          <xdr:col>6</xdr:col>
          <xdr:colOff>247650</xdr:colOff>
          <xdr:row>25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Laboratory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152400</xdr:rowOff>
        </xdr:from>
        <xdr:to>
          <xdr:col>6</xdr:col>
          <xdr:colOff>257175</xdr:colOff>
          <xdr:row>13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EMC Weekly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19050</xdr:rowOff>
        </xdr:from>
        <xdr:to>
          <xdr:col>6</xdr:col>
          <xdr:colOff>257175</xdr:colOff>
          <xdr:row>16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 Block VS Mined Prod.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mp"/>
  <dimension ref="D1:AB16"/>
  <sheetViews>
    <sheetView topLeftCell="M1" zoomScale="78" zoomScaleNormal="78" workbookViewId="0">
      <selection activeCell="P35" sqref="P35"/>
    </sheetView>
  </sheetViews>
  <sheetFormatPr defaultRowHeight="15" x14ac:dyDescent="0.25"/>
  <cols>
    <col min="4" max="4" width="24.85546875" customWidth="1"/>
    <col min="5" max="5" width="15.28515625" customWidth="1"/>
    <col min="6" max="6" width="16.42578125" customWidth="1"/>
    <col min="7" max="7" width="22.5703125" customWidth="1"/>
    <col min="8" max="8" width="19.28515625" customWidth="1"/>
    <col min="9" max="9" width="23.5703125" customWidth="1"/>
    <col min="10" max="10" width="21.85546875" customWidth="1"/>
    <col min="11" max="12" width="7.7109375" customWidth="1"/>
    <col min="13" max="13" width="24.85546875" customWidth="1"/>
    <col min="14" max="14" width="15.28515625" customWidth="1"/>
    <col min="15" max="15" width="16.5703125" customWidth="1"/>
    <col min="16" max="16" width="22.5703125" customWidth="1"/>
    <col min="17" max="17" width="19.28515625" customWidth="1"/>
    <col min="18" max="18" width="23.7109375" customWidth="1"/>
    <col min="19" max="19" width="21.85546875" customWidth="1"/>
    <col min="22" max="22" width="12.42578125" customWidth="1"/>
    <col min="24" max="24" width="11.5703125" bestFit="1" customWidth="1"/>
    <col min="26" max="26" width="19.140625" bestFit="1" customWidth="1"/>
    <col min="27" max="27" width="9.140625" style="1"/>
  </cols>
  <sheetData>
    <row r="1" spans="4:28" ht="19.5" thickBot="1" x14ac:dyDescent="0.5">
      <c r="D1" s="56"/>
      <c r="E1" s="56"/>
      <c r="F1" s="56"/>
      <c r="G1" s="56"/>
      <c r="H1" s="56"/>
      <c r="I1" s="56"/>
      <c r="J1" s="56"/>
      <c r="K1" s="25"/>
      <c r="L1" s="25"/>
      <c r="M1" s="56"/>
      <c r="N1" s="56"/>
      <c r="O1" s="56"/>
      <c r="P1" s="56"/>
      <c r="Q1" s="56"/>
      <c r="R1" s="56"/>
      <c r="S1" s="56"/>
      <c r="AA1" s="1" t="s">
        <v>44</v>
      </c>
      <c r="AB1" t="s">
        <v>43</v>
      </c>
    </row>
    <row r="2" spans="4:28" s="10" customFormat="1" ht="23.25" x14ac:dyDescent="0.55000000000000004">
      <c r="D2" s="55"/>
      <c r="E2" s="54"/>
      <c r="F2" s="54"/>
      <c r="G2" s="54"/>
      <c r="H2" s="54"/>
      <c r="I2" s="54"/>
      <c r="J2" s="53"/>
      <c r="K2" s="52"/>
      <c r="L2" s="51"/>
      <c r="M2" s="73" t="s">
        <v>42</v>
      </c>
      <c r="N2" s="74"/>
      <c r="O2" s="74"/>
      <c r="P2" s="74"/>
      <c r="Q2" s="74"/>
      <c r="R2" s="74"/>
      <c r="S2" s="75"/>
      <c r="U2" s="10">
        <v>9</v>
      </c>
      <c r="V2" t="str">
        <f>VLOOKUP(U2,U5:V16,2,FALSE)</f>
        <v>ກັນຍາ</v>
      </c>
      <c r="W2" s="10" t="s">
        <v>27</v>
      </c>
      <c r="X2" s="10" t="str">
        <f>VLOOKUP(W2,W5:X16,2,FALSE)</f>
        <v>T-GROUP</v>
      </c>
      <c r="Y2" s="10" t="s">
        <v>25</v>
      </c>
      <c r="Z2" t="str">
        <f>VLOOKUP(Y2,Y5:Z24,2,FALSE)</f>
        <v>ບໍ່ປາກໄຊເໜືອ</v>
      </c>
      <c r="AA2" s="1" t="s">
        <v>41</v>
      </c>
      <c r="AB2" t="s">
        <v>40</v>
      </c>
    </row>
    <row r="3" spans="4:28" ht="23.25" x14ac:dyDescent="0.45">
      <c r="D3" s="76"/>
      <c r="E3" s="77"/>
      <c r="F3" s="77"/>
      <c r="G3" s="77"/>
      <c r="H3" s="77"/>
      <c r="I3" s="77"/>
      <c r="J3" s="78"/>
      <c r="K3" s="50"/>
      <c r="L3" s="25"/>
      <c r="M3" s="76" t="s">
        <v>39</v>
      </c>
      <c r="N3" s="77"/>
      <c r="O3" s="77"/>
      <c r="P3" s="77"/>
      <c r="Q3" s="77"/>
      <c r="R3" s="77"/>
      <c r="S3" s="78"/>
      <c r="U3" s="10">
        <v>10</v>
      </c>
      <c r="V3" t="str">
        <f>VLOOKUP(U3,U5:V16,2,FALSE)</f>
        <v>ພະຈິກ</v>
      </c>
      <c r="AA3" s="1" t="s">
        <v>38</v>
      </c>
    </row>
    <row r="4" spans="4:28" ht="40.5" x14ac:dyDescent="0.45">
      <c r="D4" s="48"/>
      <c r="E4" s="47"/>
      <c r="F4" s="46"/>
      <c r="G4" s="45"/>
      <c r="H4" s="45"/>
      <c r="I4" s="45"/>
      <c r="J4" s="44"/>
      <c r="K4" s="49"/>
      <c r="L4" s="25"/>
      <c r="M4" s="48" t="s">
        <v>37</v>
      </c>
      <c r="N4" s="47" t="s">
        <v>36</v>
      </c>
      <c r="O4" s="46" t="s">
        <v>35</v>
      </c>
      <c r="P4" s="45" t="s">
        <v>34</v>
      </c>
      <c r="Q4" s="45" t="s">
        <v>33</v>
      </c>
      <c r="R4" s="45" t="s">
        <v>32</v>
      </c>
      <c r="S4" s="44" t="s">
        <v>31</v>
      </c>
    </row>
    <row r="5" spans="4:28" ht="19.5" x14ac:dyDescent="0.45">
      <c r="D5" s="31"/>
      <c r="E5" s="42"/>
      <c r="F5" s="27"/>
      <c r="G5" s="21"/>
      <c r="H5" s="20"/>
      <c r="I5" s="41"/>
      <c r="J5" s="40"/>
      <c r="K5" s="43"/>
      <c r="L5" s="25"/>
      <c r="M5" s="31" t="s">
        <v>30</v>
      </c>
      <c r="N5" s="42" t="s">
        <v>29</v>
      </c>
      <c r="O5" s="22"/>
      <c r="P5" s="21"/>
      <c r="Q5" s="20"/>
      <c r="R5" s="41"/>
      <c r="S5" s="40"/>
      <c r="U5">
        <v>1</v>
      </c>
      <c r="V5" t="s">
        <v>28</v>
      </c>
      <c r="W5" t="s">
        <v>27</v>
      </c>
      <c r="X5" t="s">
        <v>26</v>
      </c>
      <c r="Y5" t="s">
        <v>25</v>
      </c>
      <c r="Z5" t="s">
        <v>24</v>
      </c>
    </row>
    <row r="6" spans="4:28" ht="19.5" x14ac:dyDescent="0.45">
      <c r="D6" s="31"/>
      <c r="E6" s="38"/>
      <c r="F6" s="27"/>
      <c r="G6" s="21"/>
      <c r="H6" s="20"/>
      <c r="I6" s="37"/>
      <c r="J6" s="36"/>
      <c r="K6" s="39"/>
      <c r="L6" s="25"/>
      <c r="M6" s="31" t="s">
        <v>23</v>
      </c>
      <c r="N6" s="38" t="s">
        <v>22</v>
      </c>
      <c r="O6" s="22"/>
      <c r="P6" s="21"/>
      <c r="Q6" s="20"/>
      <c r="R6" s="37"/>
      <c r="S6" s="36"/>
      <c r="U6" s="2">
        <v>2</v>
      </c>
      <c r="V6" t="s">
        <v>21</v>
      </c>
      <c r="W6" t="s">
        <v>20</v>
      </c>
      <c r="X6" t="s">
        <v>20</v>
      </c>
      <c r="Y6" t="s">
        <v>19</v>
      </c>
      <c r="Z6" t="s">
        <v>18</v>
      </c>
    </row>
    <row r="7" spans="4:28" ht="19.5" x14ac:dyDescent="0.45">
      <c r="D7" s="35"/>
      <c r="E7" s="34"/>
      <c r="F7" s="27"/>
      <c r="G7" s="21"/>
      <c r="H7" s="20"/>
      <c r="I7" s="29"/>
      <c r="J7" s="28"/>
      <c r="K7" s="32"/>
      <c r="L7" s="25"/>
      <c r="M7" s="35" t="s">
        <v>17</v>
      </c>
      <c r="N7" s="34" t="s">
        <v>16</v>
      </c>
      <c r="O7" s="22"/>
      <c r="P7" s="21"/>
      <c r="Q7" s="20"/>
      <c r="R7" s="29"/>
      <c r="S7" s="28"/>
      <c r="U7">
        <v>3</v>
      </c>
      <c r="V7" s="33" t="s">
        <v>15</v>
      </c>
    </row>
    <row r="8" spans="4:28" ht="19.5" x14ac:dyDescent="0.45">
      <c r="D8" s="31"/>
      <c r="E8" s="30"/>
      <c r="F8" s="27"/>
      <c r="G8" s="21"/>
      <c r="H8" s="20"/>
      <c r="I8" s="29"/>
      <c r="J8" s="28"/>
      <c r="K8" s="32"/>
      <c r="L8" s="25"/>
      <c r="M8" s="31" t="s">
        <v>14</v>
      </c>
      <c r="N8" s="30" t="s">
        <v>13</v>
      </c>
      <c r="O8" s="22"/>
      <c r="P8" s="21"/>
      <c r="Q8" s="20"/>
      <c r="R8" s="29"/>
      <c r="S8" s="28"/>
      <c r="U8" s="2">
        <v>4</v>
      </c>
      <c r="V8" t="s">
        <v>12</v>
      </c>
    </row>
    <row r="9" spans="4:28" ht="19.5" x14ac:dyDescent="0.45">
      <c r="D9" s="24"/>
      <c r="E9" s="23"/>
      <c r="F9" s="27"/>
      <c r="G9" s="21"/>
      <c r="H9" s="20"/>
      <c r="I9" s="19"/>
      <c r="J9" s="18"/>
      <c r="K9" s="26"/>
      <c r="L9" s="25"/>
      <c r="M9" s="24" t="s">
        <v>11</v>
      </c>
      <c r="N9" s="23" t="s">
        <v>10</v>
      </c>
      <c r="O9" s="22"/>
      <c r="P9" s="21"/>
      <c r="Q9" s="20"/>
      <c r="R9" s="19"/>
      <c r="S9" s="18"/>
      <c r="U9">
        <v>5</v>
      </c>
      <c r="V9" t="s">
        <v>9</v>
      </c>
    </row>
    <row r="10" spans="4:28" s="10" customFormat="1" ht="24" thickBot="1" x14ac:dyDescent="0.6">
      <c r="D10" s="71"/>
      <c r="E10" s="72"/>
      <c r="F10" s="15"/>
      <c r="G10" s="14"/>
      <c r="H10" s="13"/>
      <c r="I10" s="12"/>
      <c r="J10" s="11"/>
      <c r="K10" s="17"/>
      <c r="L10" s="16"/>
      <c r="M10" s="71" t="s">
        <v>8</v>
      </c>
      <c r="N10" s="72"/>
      <c r="O10" s="15">
        <f>SUM(O5:O9)</f>
        <v>0</v>
      </c>
      <c r="P10" s="14" t="e">
        <f>SUMPRODUCT(O5:O9,P5:P9)/O10</f>
        <v>#DIV/0!</v>
      </c>
      <c r="Q10" s="13" t="e">
        <f>SUMPRODUCT(O5:O9,Q5:Q9)/O10</f>
        <v>#DIV/0!</v>
      </c>
      <c r="R10" s="12">
        <v>0</v>
      </c>
      <c r="S10" s="11">
        <v>0</v>
      </c>
      <c r="U10" s="2">
        <v>6</v>
      </c>
      <c r="V10" t="s">
        <v>7</v>
      </c>
      <c r="AA10" s="1"/>
    </row>
    <row r="11" spans="4:28" ht="20.25" x14ac:dyDescent="0.5">
      <c r="D11" s="9"/>
      <c r="E11" s="6"/>
      <c r="F11" s="5"/>
      <c r="G11" s="5"/>
      <c r="H11" s="4"/>
      <c r="I11" s="3"/>
      <c r="J11" s="3"/>
      <c r="K11" s="8"/>
      <c r="M11" s="7" t="s">
        <v>6</v>
      </c>
      <c r="N11" s="6"/>
      <c r="O11" s="5"/>
      <c r="P11" s="5"/>
      <c r="Q11" s="4"/>
      <c r="R11" s="3"/>
      <c r="S11" s="3"/>
      <c r="U11">
        <v>7</v>
      </c>
      <c r="V11" t="s">
        <v>5</v>
      </c>
    </row>
    <row r="12" spans="4:28" x14ac:dyDescent="0.25">
      <c r="U12" s="2">
        <v>8</v>
      </c>
      <c r="V12" t="s">
        <v>4</v>
      </c>
    </row>
    <row r="13" spans="4:28" x14ac:dyDescent="0.25">
      <c r="U13">
        <v>9</v>
      </c>
      <c r="V13" t="s">
        <v>3</v>
      </c>
    </row>
    <row r="14" spans="4:28" x14ac:dyDescent="0.25">
      <c r="U14" s="2">
        <v>10</v>
      </c>
      <c r="V14" t="s">
        <v>2</v>
      </c>
    </row>
    <row r="15" spans="4:28" x14ac:dyDescent="0.25">
      <c r="U15">
        <v>11</v>
      </c>
      <c r="V15" t="s">
        <v>1</v>
      </c>
    </row>
    <row r="16" spans="4:28" x14ac:dyDescent="0.25">
      <c r="U16" s="2">
        <v>12</v>
      </c>
      <c r="V16" t="s">
        <v>0</v>
      </c>
    </row>
  </sheetData>
  <mergeCells count="5">
    <mergeCell ref="M10:N10"/>
    <mergeCell ref="D10:E10"/>
    <mergeCell ref="M2:S2"/>
    <mergeCell ref="D3:J3"/>
    <mergeCell ref="M3:S3"/>
  </mergeCells>
  <conditionalFormatting sqref="E9">
    <cfRule type="cellIs" dxfId="15" priority="9" operator="equal">
      <formula>"SL"</formula>
    </cfRule>
    <cfRule type="cellIs" dxfId="14" priority="10" operator="equal">
      <formula>"LG"</formula>
    </cfRule>
    <cfRule type="cellIs" dxfId="13" priority="11" operator="equal">
      <formula>"MG"</formula>
    </cfRule>
    <cfRule type="cellIs" dxfId="12" priority="12" operator="equal">
      <formula>"HG"</formula>
    </cfRule>
  </conditionalFormatting>
  <conditionalFormatting sqref="D9">
    <cfRule type="cellIs" dxfId="11" priority="13" operator="equal">
      <formula>"SL"</formula>
    </cfRule>
    <cfRule type="cellIs" dxfId="10" priority="14" operator="equal">
      <formula>"LG"</formula>
    </cfRule>
    <cfRule type="cellIs" dxfId="9" priority="15" operator="equal">
      <formula>"MG"</formula>
    </cfRule>
    <cfRule type="cellIs" dxfId="8" priority="16" operator="equal">
      <formula>"HG"</formula>
    </cfRule>
  </conditionalFormatting>
  <conditionalFormatting sqref="N9">
    <cfRule type="cellIs" dxfId="7" priority="1" operator="equal">
      <formula>"SL"</formula>
    </cfRule>
    <cfRule type="cellIs" dxfId="6" priority="2" operator="equal">
      <formula>"LG"</formula>
    </cfRule>
    <cfRule type="cellIs" dxfId="5" priority="3" operator="equal">
      <formula>"MG"</formula>
    </cfRule>
    <cfRule type="cellIs" dxfId="4" priority="4" operator="equal">
      <formula>"HG"</formula>
    </cfRule>
  </conditionalFormatting>
  <conditionalFormatting sqref="M9">
    <cfRule type="cellIs" dxfId="3" priority="5" operator="equal">
      <formula>"SL"</formula>
    </cfRule>
    <cfRule type="cellIs" dxfId="2" priority="6" operator="equal">
      <formula>"LG"</formula>
    </cfRule>
    <cfRule type="cellIs" dxfId="1" priority="7" operator="equal">
      <formula>"MG"</formula>
    </cfRule>
    <cfRule type="cellIs" dxfId="0" priority="8" operator="equal">
      <formula>"HG"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Set"/>
  <dimension ref="A1:O13"/>
  <sheetViews>
    <sheetView workbookViewId="0">
      <selection activeCell="I13" sqref="I13"/>
    </sheetView>
  </sheetViews>
  <sheetFormatPr defaultRowHeight="15" x14ac:dyDescent="0.25"/>
  <cols>
    <col min="1" max="1" width="78.28515625" bestFit="1" customWidth="1"/>
    <col min="2" max="2" width="9.5703125" bestFit="1" customWidth="1"/>
    <col min="5" max="7" width="4.28515625" style="57" customWidth="1"/>
    <col min="8" max="8" width="10.85546875" style="57" bestFit="1" customWidth="1"/>
    <col min="9" max="13" width="9.140625" style="68"/>
    <col min="14" max="14" width="10.42578125" style="68" bestFit="1" customWidth="1"/>
    <col min="15" max="15" width="9.140625" style="68"/>
  </cols>
  <sheetData>
    <row r="1" spans="1:14" ht="20.25" x14ac:dyDescent="0.25">
      <c r="A1" t="s">
        <v>61</v>
      </c>
      <c r="B1" t="s">
        <v>53</v>
      </c>
      <c r="E1" s="67" t="s">
        <v>45</v>
      </c>
      <c r="F1" s="66" t="s">
        <v>45</v>
      </c>
      <c r="G1" s="66" t="s">
        <v>45</v>
      </c>
      <c r="I1" s="69" t="s">
        <v>58</v>
      </c>
      <c r="J1" s="69" t="s">
        <v>59</v>
      </c>
      <c r="N1" s="70"/>
    </row>
    <row r="2" spans="1:14" ht="20.25" x14ac:dyDescent="0.25">
      <c r="A2" s="59" t="s">
        <v>51</v>
      </c>
      <c r="B2" t="s">
        <v>52</v>
      </c>
      <c r="E2" s="65" t="s">
        <v>45</v>
      </c>
      <c r="F2" s="64" t="s">
        <v>45</v>
      </c>
      <c r="G2" s="64" t="s">
        <v>45</v>
      </c>
      <c r="I2" s="68" t="s">
        <v>25</v>
      </c>
      <c r="J2" s="68" t="s">
        <v>27</v>
      </c>
    </row>
    <row r="3" spans="1:14" ht="20.25" x14ac:dyDescent="0.25">
      <c r="A3" s="59" t="s">
        <v>57</v>
      </c>
      <c r="E3" s="58"/>
      <c r="F3" s="63"/>
      <c r="G3" s="63"/>
      <c r="I3" s="68" t="s">
        <v>25</v>
      </c>
      <c r="J3" s="68" t="s">
        <v>20</v>
      </c>
    </row>
    <row r="4" spans="1:14" ht="18.75" x14ac:dyDescent="0.25">
      <c r="A4" s="59" t="s">
        <v>50</v>
      </c>
      <c r="F4" s="62"/>
      <c r="G4" s="62"/>
      <c r="I4" s="68" t="s">
        <v>19</v>
      </c>
      <c r="J4" s="68" t="s">
        <v>20</v>
      </c>
      <c r="K4"/>
    </row>
    <row r="5" spans="1:14" ht="18.75" x14ac:dyDescent="0.25">
      <c r="A5" s="59" t="s">
        <v>49</v>
      </c>
      <c r="F5" s="61"/>
      <c r="G5" s="61"/>
    </row>
    <row r="6" spans="1:14" x14ac:dyDescent="0.25">
      <c r="A6" s="59" t="s">
        <v>48</v>
      </c>
    </row>
    <row r="7" spans="1:14" x14ac:dyDescent="0.25">
      <c r="A7" s="59" t="s">
        <v>47</v>
      </c>
    </row>
    <row r="8" spans="1:14" ht="18.75" x14ac:dyDescent="0.25">
      <c r="A8" s="59" t="s">
        <v>56</v>
      </c>
      <c r="F8" s="60"/>
      <c r="G8" s="60"/>
    </row>
    <row r="9" spans="1:14" ht="20.25" x14ac:dyDescent="0.25">
      <c r="A9" s="59" t="s">
        <v>46</v>
      </c>
      <c r="F9" s="58"/>
      <c r="G9" s="58"/>
    </row>
    <row r="10" spans="1:14" x14ac:dyDescent="0.25">
      <c r="A10" s="59" t="s">
        <v>54</v>
      </c>
    </row>
    <row r="11" spans="1:14" x14ac:dyDescent="0.25">
      <c r="A11" s="59" t="s">
        <v>55</v>
      </c>
    </row>
    <row r="12" spans="1:14" x14ac:dyDescent="0.25">
      <c r="A12" s="59"/>
    </row>
    <row r="13" spans="1:14" x14ac:dyDescent="0.25">
      <c r="A13" s="5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Main"/>
  <dimension ref="E64"/>
  <sheetViews>
    <sheetView showGridLines="0" tabSelected="1" workbookViewId="0"/>
  </sheetViews>
  <sheetFormatPr defaultRowHeight="15" x14ac:dyDescent="0.25"/>
  <sheetData>
    <row r="64" spans="5:5" x14ac:dyDescent="0.25">
      <c r="E64" t="s">
        <v>60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DailyReport">
                <anchor moveWithCells="1" sizeWithCells="1">
                  <from>
                    <xdr:col>3</xdr:col>
                    <xdr:colOff>38100</xdr:colOff>
                    <xdr:row>5</xdr:row>
                    <xdr:rowOff>19050</xdr:rowOff>
                  </from>
                  <to>
                    <xdr:col>6</xdr:col>
                    <xdr:colOff>257175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ReportByDateSpan">
                <anchor moveWithCells="1" sizeWithCells="1">
                  <from>
                    <xdr:col>3</xdr:col>
                    <xdr:colOff>38100</xdr:colOff>
                    <xdr:row>7</xdr:row>
                    <xdr:rowOff>57150</xdr:rowOff>
                  </from>
                  <to>
                    <xdr:col>6</xdr:col>
                    <xdr:colOff>257175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MC_dailyreport_new">
                <anchor moveWithCells="1" sizeWithCells="1">
                  <from>
                    <xdr:col>3</xdr:col>
                    <xdr:colOff>38100</xdr:colOff>
                    <xdr:row>9</xdr:row>
                    <xdr:rowOff>104775</xdr:rowOff>
                  </from>
                  <to>
                    <xdr:col>6</xdr:col>
                    <xdr:colOff>257175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iningReport">
                <anchor moveWithCells="1" sizeWithCells="1">
                  <from>
                    <xdr:col>3</xdr:col>
                    <xdr:colOff>28575</xdr:colOff>
                    <xdr:row>18</xdr:row>
                    <xdr:rowOff>104775</xdr:rowOff>
                  </from>
                  <to>
                    <xdr:col>6</xdr:col>
                    <xdr:colOff>247650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GroupReport">
                <anchor moveWithCells="1" sizeWithCells="1">
                  <from>
                    <xdr:col>3</xdr:col>
                    <xdr:colOff>28575</xdr:colOff>
                    <xdr:row>20</xdr:row>
                    <xdr:rowOff>161925</xdr:rowOff>
                  </from>
                  <to>
                    <xdr:col>6</xdr:col>
                    <xdr:colOff>247650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openLabReport">
                <anchor moveWithCells="1" sizeWithCells="1">
                  <from>
                    <xdr:col>3</xdr:col>
                    <xdr:colOff>28575</xdr:colOff>
                    <xdr:row>23</xdr:row>
                    <xdr:rowOff>28575</xdr:rowOff>
                  </from>
                  <to>
                    <xdr:col>6</xdr:col>
                    <xdr:colOff>247650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openWeeeklyEMCReport">
                <anchor moveWithCells="1" sizeWithCells="1">
                  <from>
                    <xdr:col>3</xdr:col>
                    <xdr:colOff>38100</xdr:colOff>
                    <xdr:row>11</xdr:row>
                    <xdr:rowOff>152400</xdr:rowOff>
                  </from>
                  <to>
                    <xdr:col>6</xdr:col>
                    <xdr:colOff>257175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ateSpan_form">
                <anchor moveWithCells="1" sizeWithCells="1">
                  <from>
                    <xdr:col>3</xdr:col>
                    <xdr:colOff>38100</xdr:colOff>
                    <xdr:row>14</xdr:row>
                    <xdr:rowOff>19050</xdr:rowOff>
                  </from>
                  <to>
                    <xdr:col>6</xdr:col>
                    <xdr:colOff>257175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tmp</vt:lpstr>
      <vt:lpstr>Setting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Chamlong Kabbouakham</dc:creator>
  <cp:lastModifiedBy>Chamlong Kabbouakham</cp:lastModifiedBy>
  <dcterms:created xsi:type="dcterms:W3CDTF">2021-12-18T01:31:31Z</dcterms:created>
  <dcterms:modified xsi:type="dcterms:W3CDTF">2022-07-31T04:40:08Z</dcterms:modified>
</cp:coreProperties>
</file>